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l+9rec0sQ7IzoaSJ4y8pLoBOMiLSegP8nXbkxFCKeTc="/>
    </ext>
  </extLst>
</workbook>
</file>

<file path=xl/sharedStrings.xml><?xml version="1.0" encoding="utf-8"?>
<sst xmlns="http://schemas.openxmlformats.org/spreadsheetml/2006/main" count="95" uniqueCount="61">
  <si>
    <t xml:space="preserve">Detail </t>
  </si>
  <si>
    <t xml:space="preserve">Detalle </t>
  </si>
  <si>
    <t>Posicion Arancelaria</t>
  </si>
  <si>
    <t>¿Es BK?</t>
  </si>
  <si>
    <t>Cylinder Head Smash Revolution (CDI) Eco</t>
  </si>
  <si>
    <t>Tapa de cilindro (CDI) Eco</t>
  </si>
  <si>
    <t>8409.91.90.900N</t>
  </si>
  <si>
    <t>NO</t>
  </si>
  <si>
    <t>Complete Cylinder Dakar 200 w/Piston 63.5 MM</t>
  </si>
  <si>
    <t>Cilindro completo Dakar 200 con pistón de 63,5 mm</t>
  </si>
  <si>
    <t>Complete Cylinder Dakar 200 w/Piston 65 MM</t>
  </si>
  <si>
    <t>Cilindro completo Dakar 200 con pistón de 65 mm</t>
  </si>
  <si>
    <t>Crankshaft Dakar 200 (Connecting Rod)</t>
  </si>
  <si>
    <t>Cigüeñal Dakar 200 (Biela)</t>
  </si>
  <si>
    <t>Valve Rocker Arm CG125 x2 Roller</t>
  </si>
  <si>
    <t>Balancín de válvula CG125 x2 con rodillo</t>
  </si>
  <si>
    <t>Fuding Guansheng Locomotive Parts Co., Ltd
No.7 Tietang Industrial Park B, Shanqian District, Fuding County, Ningde City, Fujian Province, China Tel: +86-593-7568961  Fax: +86-593-7568960</t>
  </si>
  <si>
    <t>RX POWER Kit 150 to 170 65.5mm</t>
  </si>
  <si>
    <t>Kit RX POWER de 150 a 170 65,5 mm</t>
  </si>
  <si>
    <t xml:space="preserve">Carburetor Dakar 200 Without Pump </t>
  </si>
  <si>
    <t>Carburador Dakar 200 sin bomba</t>
  </si>
  <si>
    <t>8409.91.18.000X</t>
  </si>
  <si>
    <t>Carburetor 28 MM Keihin Flat Metal Bowl(INCLUDES JET AND NOZZLE KIT)</t>
  </si>
  <si>
    <t xml:space="preserve">Carburador Keihin de 28 mm con cuba plana de metal </t>
  </si>
  <si>
    <t>Carburetor 32 MM Keihin Flat Metal Bowl(INCLUDES JET AND NOZZLE KIT)</t>
  </si>
  <si>
    <t>Carburador Keihin de 32 mm con cuba plana de metal</t>
  </si>
  <si>
    <t>Proforma Invoice</t>
  </si>
  <si>
    <t>POWER KIT New Honda Wave 110s K03</t>
  </si>
  <si>
    <t>KIT DE POTENCIA Nuevo Honda Wave 110s K03</t>
  </si>
  <si>
    <t>Invoice No.:    HL2026727OPJL</t>
  </si>
  <si>
    <t>Date:    2026/08/15</t>
  </si>
  <si>
    <r>
      <rPr>
        <rFont val="Aptos"/>
        <color rgb="FF000000"/>
        <sz val="16.0"/>
      </rPr>
      <t>Buyer: OLIVA PEIRONE JOSE LUIS
Cuit</t>
    </r>
    <r>
      <rPr>
        <rFont val="宋体"/>
        <color rgb="FF000000"/>
        <sz val="16.0"/>
      </rPr>
      <t>（</t>
    </r>
    <r>
      <rPr>
        <rFont val="Aptos"/>
        <color rgb="FF000000"/>
        <sz val="16.0"/>
      </rPr>
      <t>tax id) : 20269957361 Tel: +5493516864436
City: CORDOBA
Status: CORDOBA Country: ARGENTITA
Address: REVOLUCION DE MAYO 1605 DPTO:5-BARRIO</t>
    </r>
  </si>
  <si>
    <t>Seller:  Fuding Guansheng Locomotive Parts Co., Ltd Cuit(tax id): 91350982MA332EQXXM
Tel: +86 13860327361
City: Fuding Status: Fujian Country: China
Address: No.7 Tietang Industrial Park B, Shanqian District</t>
  </si>
  <si>
    <t>Supplier Item No.</t>
  </si>
  <si>
    <t>PHOTO</t>
  </si>
  <si>
    <t>LOGO</t>
  </si>
  <si>
    <t>SIZE</t>
  </si>
  <si>
    <t>Qty</t>
  </si>
  <si>
    <t>Price</t>
  </si>
  <si>
    <t>Total price</t>
  </si>
  <si>
    <t>FGL-000-035</t>
  </si>
  <si>
    <t>ITALY</t>
  </si>
  <si>
    <t>FGL-000-070</t>
  </si>
  <si>
    <t>FGL-000-071</t>
  </si>
  <si>
    <t>FGL-000-040</t>
  </si>
  <si>
    <t>14451-383-000</t>
  </si>
  <si>
    <t>NO BRAND</t>
  </si>
  <si>
    <t>Competition parameters</t>
  </si>
  <si>
    <t>FGL-000-048</t>
  </si>
  <si>
    <t>italy</t>
  </si>
  <si>
    <t>FGL-000-069</t>
  </si>
  <si>
    <t>FGL-000-057</t>
  </si>
  <si>
    <t>KEIHIN</t>
  </si>
  <si>
    <t>28MM</t>
  </si>
  <si>
    <t>FGL-000-025</t>
  </si>
  <si>
    <t>32MM</t>
  </si>
  <si>
    <t>53MM</t>
  </si>
  <si>
    <t>TOTAL UNIT</t>
  </si>
  <si>
    <t>TOTAL FOB</t>
  </si>
  <si>
    <r>
      <rPr>
        <rFont val="Arial"/>
        <color rgb="FF000000"/>
        <sz val="16.0"/>
      </rPr>
      <t xml:space="preserve">1. PACKING: STANDARD CARTON PACKING with </t>
    </r>
    <r>
      <rPr>
        <rFont val="Arial"/>
        <b/>
        <color rgb="FFFF0000"/>
        <sz val="16.0"/>
      </rPr>
      <t xml:space="preserve">" made in china " </t>
    </r>
    <r>
      <rPr>
        <rFont val="Arial"/>
        <color rgb="FF000000"/>
        <sz val="16.0"/>
      </rPr>
      <t xml:space="preserve">
2. DELIVERY DATE: 05/09/2026
3. PAYMENT TERM: 50% advance - 50% boarded
4. PORT OF LOADING: CHINA
5. DESTINATION: CORDOBA - ARGENTINA</t>
    </r>
  </si>
  <si>
    <t>Bank Detail:
SWIFT/BIC: DHBKHKHH (DHBKHKHHXXX * If 11 characters are required) 
Account Number: 79969133739
Account Name: Fuding Guansheng Locomotive Parts Co., Ltd. 
Bank Name: DBS Bank (Hong Kong) Limited
Bank Address: 11th Floor, The Center, 99 Queen's Road Central, Central, Hong Kong 
Country/Region: Hong Kong
Type of Account: Business Account Bank Code: 016
Branch Code: 478 * If paying from Hong Kong banks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</si>
</sst>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US$&quot;#,##0.00;\-&quot;US$&quot;#,##0.00"/>
  </numFmts>
  <fonts count="12">
    <font>
      <sz val="10.0"/>
      <color rgb="FF000000"/>
      <name val="Calibri"/>
      <scheme val="minor"/>
    </font>
    <font>
      <sz val="11.0"/>
      <color theme="1"/>
      <name val="Arial"/>
    </font>
    <font>
      <sz val="16.0"/>
      <color rgb="FF000000"/>
      <name val="Arial"/>
    </font>
    <font>
      <sz val="16.0"/>
      <color rgb="FF000000"/>
      <name val="Aptos"/>
    </font>
    <font>
      <b/>
      <sz val="16.0"/>
      <color rgb="FF000000"/>
      <name val="Aptos"/>
    </font>
    <font>
      <sz val="16.0"/>
      <color theme="1"/>
      <name val="Aptos"/>
    </font>
    <font>
      <sz val="10.0"/>
      <color theme="1"/>
      <name val="Times New Roman"/>
    </font>
    <font>
      <sz val="12.0"/>
      <color theme="1"/>
      <name val="Arial"/>
    </font>
    <font>
      <sz val="12.0"/>
      <color rgb="FF000000"/>
      <name val="Times New Roman"/>
    </font>
    <font>
      <b/>
      <sz val="15.0"/>
      <color rgb="FF000000"/>
      <name val="Times New Roman"/>
    </font>
    <font>
      <sz val="12.0"/>
      <color rgb="FF000000"/>
      <name val="Aptos"/>
    </font>
    <font/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BD4B4"/>
        <bgColor rgb="FFFBD4B4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readingOrder="0" vertical="center"/>
    </xf>
    <xf borderId="0" fillId="0" fontId="1" numFmtId="0" xfId="0" applyAlignment="1" applyFont="1">
      <alignment readingOrder="0" vertical="center"/>
    </xf>
    <xf borderId="1" fillId="0" fontId="1" numFmtId="0" xfId="0" applyAlignment="1" applyBorder="1" applyFont="1">
      <alignment vertical="center"/>
    </xf>
    <xf borderId="0" fillId="0" fontId="2" numFmtId="0" xfId="0" applyAlignment="1" applyFont="1">
      <alignment horizontal="center" readingOrder="0" shrinkToFit="0" vertical="top" wrapText="1"/>
    </xf>
    <xf borderId="0" fillId="0" fontId="3" numFmtId="0" xfId="0" applyAlignment="1" applyFont="1">
      <alignment horizontal="left" vertical="top"/>
    </xf>
    <xf borderId="0" fillId="0" fontId="4" numFmtId="0" xfId="0" applyAlignment="1" applyFont="1">
      <alignment horizontal="left" vertical="top"/>
    </xf>
    <xf borderId="0" fillId="0" fontId="2" numFmtId="0" xfId="0" applyAlignment="1" applyFont="1">
      <alignment horizontal="left" readingOrder="0" vertical="top"/>
    </xf>
    <xf borderId="0" fillId="0" fontId="3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1" fillId="0" fontId="5" numFmtId="0" xfId="0" applyAlignment="1" applyBorder="1" applyFont="1">
      <alignment horizontal="left" shrinkToFit="0" vertical="center" wrapText="1"/>
    </xf>
    <xf borderId="1" fillId="0" fontId="3" numFmtId="164" xfId="0" applyAlignment="1" applyBorder="1" applyFont="1" applyNumberFormat="1">
      <alignment horizontal="left" vertical="center"/>
    </xf>
    <xf borderId="1" fillId="0" fontId="3" numFmtId="0" xfId="0" applyAlignment="1" applyBorder="1" applyFont="1">
      <alignment horizontal="left" vertical="top"/>
    </xf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2" fontId="1" numFmtId="2" xfId="0" applyAlignment="1" applyBorder="1" applyFill="1" applyFont="1" applyNumberFormat="1">
      <alignment horizontal="center" vertical="center"/>
    </xf>
    <xf borderId="1" fillId="0" fontId="1" numFmtId="2" xfId="0" applyAlignment="1" applyBorder="1" applyFont="1" applyNumberFormat="1">
      <alignment horizontal="center" vertical="center"/>
    </xf>
    <xf borderId="0" fillId="0" fontId="6" numFmtId="0" xfId="0" applyAlignment="1" applyFont="1">
      <alignment horizontal="left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ill="1" applyFont="1">
      <alignment horizontal="left" vertical="center"/>
    </xf>
    <xf borderId="1" fillId="3" fontId="1" numFmtId="0" xfId="0" applyAlignment="1" applyBorder="1" applyFill="1" applyFont="1">
      <alignment horizontal="left" readingOrder="0" vertical="center"/>
    </xf>
    <xf borderId="1" fillId="3" fontId="1" numFmtId="0" xfId="0" applyAlignment="1" applyBorder="1" applyFill="1" applyFont="1">
      <alignment horizontal="left" vertical="center"/>
    </xf>
    <xf borderId="1" fillId="3" fontId="1" numFmtId="0" xfId="0" applyAlignment="1" applyBorder="1" applyFill="1" applyFont="1">
      <alignment horizontal="left" shrinkToFit="0" vertical="center" wrapText="1"/>
    </xf>
    <xf borderId="1" fillId="3" fontId="1" numFmtId="2" xfId="0" applyAlignment="1" applyBorder="1" applyFill="1" applyFont="1" applyNumberFormat="1">
      <alignment horizontal="center" vertical="center"/>
    </xf>
    <xf borderId="0" fillId="0" fontId="7" numFmtId="0" xfId="0" applyAlignment="1" applyFont="1">
      <alignment horizontal="left" vertical="center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center" readingOrder="0" vertical="center"/>
    </xf>
    <xf borderId="0" fillId="0" fontId="9" numFmtId="0" xfId="0" applyAlignment="1" applyFont="1">
      <alignment horizontal="center" vertical="center"/>
    </xf>
    <xf borderId="0" fillId="0" fontId="9" numFmtId="4" xfId="0" applyAlignment="1" applyFont="1" applyNumberFormat="1">
      <alignment horizontal="center" vertical="center"/>
    </xf>
    <xf borderId="0" fillId="0" fontId="10" numFmtId="164" xfId="0" applyAlignment="1" applyFont="1" applyNumberFormat="1">
      <alignment horizontal="left" vertical="center"/>
    </xf>
    <xf borderId="0" fillId="0" fontId="10" numFmtId="0" xfId="0" applyAlignment="1" applyFont="1">
      <alignment horizontal="left" vertical="center"/>
    </xf>
    <xf borderId="0" fillId="0" fontId="10" numFmtId="9" xfId="0" applyAlignment="1" applyFont="1" applyNumberFormat="1">
      <alignment horizontal="left" vertical="center"/>
    </xf>
    <xf borderId="2" fillId="0" fontId="3" numFmtId="0" xfId="0" applyAlignment="1" applyBorder="1" applyFont="1">
      <alignment horizontal="left" readingOrder="0" shrinkToFit="0" vertical="top" wrapText="1"/>
    </xf>
    <xf borderId="2" fillId="0" fontId="11" numFmtId="0" xfId="0" applyAlignment="1" applyBorder="1" applyFont="1">
      <alignment vertical="center"/>
    </xf>
    <xf borderId="0" fillId="0" fontId="3" numFmtId="164" xfId="0" applyAlignment="1" applyFont="1" applyNumberForma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Relationship Id="rId3" Type="http://schemas.openxmlformats.org/officeDocument/2006/relationships/image" Target="../media/image5.png"/><Relationship Id="rId4" Type="http://schemas.openxmlformats.org/officeDocument/2006/relationships/image" Target="../media/image2.png"/><Relationship Id="rId5" Type="http://schemas.openxmlformats.org/officeDocument/2006/relationships/image" Target="../media/image6.png"/><Relationship Id="rId6" Type="http://schemas.openxmlformats.org/officeDocument/2006/relationships/image" Target="../media/image3.png"/><Relationship Id="rId7" Type="http://schemas.openxmlformats.org/officeDocument/2006/relationships/image" Target="../media/image4.png"/><Relationship Id="rId8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142875</xdr:colOff>
      <xdr:row>5</xdr:row>
      <xdr:rowOff>0</xdr:rowOff>
    </xdr:from>
    <xdr:ext cx="2181225" cy="1400175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400050</xdr:colOff>
      <xdr:row>6</xdr:row>
      <xdr:rowOff>19050</xdr:rowOff>
    </xdr:from>
    <xdr:ext cx="1619250" cy="10763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352425</xdr:colOff>
      <xdr:row>7</xdr:row>
      <xdr:rowOff>0</xdr:rowOff>
    </xdr:from>
    <xdr:ext cx="1666875" cy="11144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8</xdr:row>
      <xdr:rowOff>38100</xdr:rowOff>
    </xdr:from>
    <xdr:ext cx="1419225" cy="93345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476250</xdr:colOff>
      <xdr:row>9</xdr:row>
      <xdr:rowOff>9525</xdr:rowOff>
    </xdr:from>
    <xdr:ext cx="1571625" cy="1076325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542925</xdr:colOff>
      <xdr:row>12</xdr:row>
      <xdr:rowOff>142875</xdr:rowOff>
    </xdr:from>
    <xdr:ext cx="1190625" cy="1095375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10</xdr:row>
      <xdr:rowOff>123825</xdr:rowOff>
    </xdr:from>
    <xdr:ext cx="1619250" cy="10763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628650</xdr:colOff>
      <xdr:row>11</xdr:row>
      <xdr:rowOff>57150</xdr:rowOff>
    </xdr:from>
    <xdr:ext cx="1028700" cy="1466850"/>
    <xdr:pic>
      <xdr:nvPicPr>
        <xdr:cNvPr id="0" name="image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781050</xdr:colOff>
      <xdr:row>11</xdr:row>
      <xdr:rowOff>1600200</xdr:rowOff>
    </xdr:from>
    <xdr:ext cx="1190625" cy="1466850"/>
    <xdr:pic>
      <xdr:nvPicPr>
        <xdr:cNvPr id="0" name="image4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13</xdr:row>
      <xdr:rowOff>1590675</xdr:rowOff>
    </xdr:from>
    <xdr:ext cx="2057400" cy="1533525"/>
    <xdr:pic>
      <xdr:nvPicPr>
        <xdr:cNvPr id="0" name="image7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666750</xdr:colOff>
      <xdr:row>13</xdr:row>
      <xdr:rowOff>28575</xdr:rowOff>
    </xdr:from>
    <xdr:ext cx="1190625" cy="1400175"/>
    <xdr:pic>
      <xdr:nvPicPr>
        <xdr:cNvPr id="0" name="image4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9.0"/>
    <col customWidth="1" min="2" max="2" width="44.71"/>
    <col customWidth="1" min="3" max="3" width="56.29"/>
    <col customWidth="1" min="4" max="4" width="26.29"/>
    <col customWidth="1" min="5" max="5" width="17.86"/>
    <col customWidth="1" min="6" max="6" width="20.29"/>
    <col customWidth="1" min="7" max="7" width="22.86"/>
    <col customWidth="1" min="8" max="8" width="37.14"/>
    <col customWidth="1" min="9" max="9" width="30.29"/>
    <col customWidth="1" min="10" max="10" width="12.71"/>
    <col customWidth="1" min="11" max="11" width="15.43"/>
    <col customWidth="1" min="12" max="12" width="22.14"/>
    <col customWidth="1" min="13" max="26" width="10.86"/>
  </cols>
  <sheetData>
    <row r="1" ht="63.0" customHeight="1">
      <c r="A1" s="6" t="s">
        <v>16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21.0" customHeight="1">
      <c r="A2" s="7"/>
      <c r="B2" s="7"/>
      <c r="C2" s="8" t="s">
        <v>26</v>
      </c>
      <c r="D2" s="7"/>
      <c r="E2" s="9" t="s">
        <v>29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1.0" customHeight="1">
      <c r="A3" s="7"/>
      <c r="B3" s="7"/>
      <c r="C3" s="7"/>
      <c r="D3" s="7"/>
      <c r="E3" s="9" t="s">
        <v>30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98.25" customHeight="1">
      <c r="A4" s="10" t="s">
        <v>31</v>
      </c>
      <c r="C4" s="7"/>
      <c r="D4" s="11" t="s">
        <v>32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1.0" customHeight="1">
      <c r="A5" s="12" t="s">
        <v>33</v>
      </c>
      <c r="B5" s="12" t="s">
        <v>34</v>
      </c>
      <c r="C5" s="12" t="s">
        <v>0</v>
      </c>
      <c r="D5" s="12" t="s">
        <v>35</v>
      </c>
      <c r="E5" s="12" t="s">
        <v>36</v>
      </c>
      <c r="F5" s="13" t="s">
        <v>37</v>
      </c>
      <c r="G5" s="13" t="s">
        <v>38</v>
      </c>
      <c r="H5" s="14" t="s">
        <v>39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6.0" customHeight="1">
      <c r="A6" s="15" t="s">
        <v>40</v>
      </c>
      <c r="B6" s="15"/>
      <c r="C6" s="16" t="s">
        <v>4</v>
      </c>
      <c r="D6" s="16" t="s">
        <v>41</v>
      </c>
      <c r="E6" s="16"/>
      <c r="F6" s="17">
        <v>800.0</v>
      </c>
      <c r="G6" s="18">
        <v>18.5</v>
      </c>
      <c r="H6" s="19">
        <f t="shared" ref="H6:H15" si="1">F6*G6</f>
        <v>14800</v>
      </c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126.0" customHeight="1">
      <c r="A7" s="15" t="s">
        <v>42</v>
      </c>
      <c r="B7" s="15"/>
      <c r="C7" s="16" t="s">
        <v>8</v>
      </c>
      <c r="D7" s="16" t="s">
        <v>41</v>
      </c>
      <c r="E7" s="16"/>
      <c r="F7" s="21">
        <v>400.0</v>
      </c>
      <c r="G7" s="18">
        <v>10.5</v>
      </c>
      <c r="H7" s="19">
        <f t="shared" si="1"/>
        <v>4200</v>
      </c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26.0" customHeight="1">
      <c r="A8" s="15" t="s">
        <v>43</v>
      </c>
      <c r="B8" s="15"/>
      <c r="C8" s="22" t="s">
        <v>10</v>
      </c>
      <c r="D8" s="16" t="s">
        <v>41</v>
      </c>
      <c r="E8" s="16"/>
      <c r="F8" s="21">
        <v>200.0</v>
      </c>
      <c r="G8" s="18">
        <v>12.5</v>
      </c>
      <c r="H8" s="19">
        <f t="shared" si="1"/>
        <v>2500</v>
      </c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126.0" customHeight="1">
      <c r="A9" s="15" t="s">
        <v>44</v>
      </c>
      <c r="B9" s="15"/>
      <c r="C9" s="16" t="s">
        <v>12</v>
      </c>
      <c r="D9" s="16" t="s">
        <v>41</v>
      </c>
      <c r="E9" s="16"/>
      <c r="F9" s="21">
        <v>800.0</v>
      </c>
      <c r="G9" s="18">
        <v>10.6</v>
      </c>
      <c r="H9" s="19">
        <f t="shared" si="1"/>
        <v>8480</v>
      </c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26.0" customHeight="1">
      <c r="A10" s="15" t="s">
        <v>45</v>
      </c>
      <c r="B10" s="15"/>
      <c r="C10" s="16" t="s">
        <v>14</v>
      </c>
      <c r="D10" s="16" t="s">
        <v>46</v>
      </c>
      <c r="E10" s="16" t="s">
        <v>47</v>
      </c>
      <c r="F10" s="21">
        <v>200.0</v>
      </c>
      <c r="G10" s="18">
        <v>3.64</v>
      </c>
      <c r="H10" s="19">
        <f t="shared" si="1"/>
        <v>728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26.0" customHeight="1">
      <c r="A11" s="15" t="s">
        <v>48</v>
      </c>
      <c r="B11" s="23"/>
      <c r="C11" s="16" t="s">
        <v>17</v>
      </c>
      <c r="D11" s="16" t="s">
        <v>49</v>
      </c>
      <c r="E11" s="16"/>
      <c r="F11" s="21">
        <v>300.0</v>
      </c>
      <c r="G11" s="18">
        <v>11.5</v>
      </c>
      <c r="H11" s="19">
        <f t="shared" si="1"/>
        <v>3450</v>
      </c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26.0" customHeight="1">
      <c r="A12" s="15" t="s">
        <v>50</v>
      </c>
      <c r="B12" s="23"/>
      <c r="C12" s="16" t="s">
        <v>19</v>
      </c>
      <c r="D12" s="16" t="s">
        <v>46</v>
      </c>
      <c r="E12" s="16"/>
      <c r="F12" s="21">
        <v>100.0</v>
      </c>
      <c r="G12" s="18">
        <v>4.8</v>
      </c>
      <c r="H12" s="19">
        <f t="shared" si="1"/>
        <v>480</v>
      </c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26.0" customHeight="1">
      <c r="A13" s="15" t="s">
        <v>51</v>
      </c>
      <c r="B13" s="15"/>
      <c r="C13" s="16" t="s">
        <v>22</v>
      </c>
      <c r="D13" s="16" t="s">
        <v>52</v>
      </c>
      <c r="E13" s="16" t="s">
        <v>53</v>
      </c>
      <c r="F13" s="21">
        <v>100.0</v>
      </c>
      <c r="G13" s="18">
        <v>10.8</v>
      </c>
      <c r="H13" s="19">
        <f t="shared" si="1"/>
        <v>1080</v>
      </c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26.0" customHeight="1">
      <c r="A14" s="15" t="s">
        <v>54</v>
      </c>
      <c r="B14" s="15"/>
      <c r="C14" s="16" t="s">
        <v>24</v>
      </c>
      <c r="D14" s="16" t="s">
        <v>52</v>
      </c>
      <c r="E14" s="16" t="s">
        <v>55</v>
      </c>
      <c r="F14" s="21">
        <v>150.0</v>
      </c>
      <c r="G14" s="18">
        <v>10.8</v>
      </c>
      <c r="H14" s="19">
        <f t="shared" si="1"/>
        <v>1620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26.0" customHeight="1">
      <c r="A15" s="24">
        <v>1.0</v>
      </c>
      <c r="B15" s="25"/>
      <c r="C15" s="26" t="s">
        <v>27</v>
      </c>
      <c r="D15" s="26" t="s">
        <v>41</v>
      </c>
      <c r="E15" s="26" t="s">
        <v>56</v>
      </c>
      <c r="F15" s="21">
        <v>150.0</v>
      </c>
      <c r="G15" s="27">
        <v>9.5</v>
      </c>
      <c r="H15" s="27">
        <f t="shared" si="1"/>
        <v>1425</v>
      </c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25.5" customHeight="1">
      <c r="A16" s="28"/>
      <c r="B16" s="28"/>
      <c r="C16" s="29"/>
      <c r="D16" s="30"/>
      <c r="E16" s="31" t="s">
        <v>57</v>
      </c>
      <c r="F16" s="32">
        <f>SUM(F6:F15)</f>
        <v>3200</v>
      </c>
      <c r="G16" s="31" t="s">
        <v>58</v>
      </c>
      <c r="H16" s="33">
        <f>SUM(H6:H15)</f>
        <v>38763</v>
      </c>
      <c r="I16" s="34"/>
      <c r="J16" s="35"/>
      <c r="K16" s="36"/>
      <c r="L16" s="34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ht="99.0" customHeight="1">
      <c r="A17" s="37" t="s">
        <v>59</v>
      </c>
      <c r="B17" s="38"/>
      <c r="C17" s="38"/>
      <c r="D17" s="38"/>
      <c r="E17" s="38"/>
      <c r="F17" s="38"/>
      <c r="G17" s="38"/>
      <c r="H17" s="38"/>
      <c r="I17" s="39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204.0" customHeight="1">
      <c r="A18" s="11" t="s">
        <v>60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21.0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21.0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21.0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21.0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21.0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21.0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21.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21.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21.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21.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21.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21.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21.0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21.0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21.0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21.0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21.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21.0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21.0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21.0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21.0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21.0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21.0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21.0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21.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21.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21.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21.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21.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21.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21.0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21.0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21.0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21.0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21.0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21.0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21.0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21.0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21.0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21.0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21.0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21.0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21.0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21.0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21.0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21.0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21.0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21.0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21.0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21.0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21.0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21.0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21.0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21.0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21.0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21.0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21.0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21.0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21.0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21.0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21.0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21.0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21.0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21.0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21.0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21.0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21.0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21.0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21.0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21.0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21.0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21.0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21.0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21.0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21.0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21.0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21.0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21.0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21.0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21.0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21.0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21.0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21.0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21.0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21.0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21.0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21.0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21.0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21.0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21.0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21.0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21.0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21.0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21.0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21.0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21.0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21.0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21.0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21.0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21.0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21.0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21.0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21.0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21.0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21.0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21.0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21.0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21.0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21.0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21.0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21.0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21.0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21.0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21.0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21.0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21.0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21.0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21.0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21.0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21.0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21.0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21.0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21.0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21.0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21.0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21.0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21.0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21.0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21.0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21.0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21.0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21.0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21.0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21.0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21.0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21.0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21.0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21.0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21.0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21.0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21.0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21.0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21.0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21.0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21.0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21.0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21.0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21.0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21.0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21.0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21.0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21.0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21.0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21.0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21.0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21.0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21.0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21.0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21.0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21.0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21.0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21.0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21.0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21.0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21.0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21.0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21.0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21.0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21.0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21.0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21.0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21.0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21.0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21.0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21.0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21.0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21.0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21.0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21.0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21.0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21.0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21.0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21.0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21.0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21.0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21.0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21.0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21.0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21.0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21.0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21.0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21.0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21.0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21.0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21.0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21.0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21.0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21.0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21.0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21.0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21.0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21.0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21.0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21.0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21.0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21.0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21.0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21.0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21.0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21.0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21.0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21.0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21.0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21.0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21.0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21.0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21.0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21.0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21.0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21.0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21.0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21.0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21.0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21.0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21.0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21.0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21.0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21.0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21.0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21.0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21.0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21.0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21.0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21.0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21.0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21.0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21.0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21.0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21.0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21.0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21.0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21.0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21.0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21.0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21.0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21.0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21.0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21.0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21.0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21.0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21.0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21.0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21.0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21.0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21.0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21.0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21.0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21.0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21.0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21.0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21.0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21.0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21.0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21.0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21.0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21.0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21.0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21.0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21.0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21.0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21.0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21.0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21.0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21.0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21.0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21.0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21.0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21.0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21.0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21.0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21.0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21.0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21.0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21.0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21.0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21.0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21.0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21.0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21.0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21.0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21.0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21.0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21.0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21.0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21.0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21.0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21.0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21.0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21.0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21.0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21.0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21.0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21.0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21.0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21.0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21.0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21.0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21.0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21.0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21.0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21.0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21.0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21.0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21.0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21.0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21.0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21.0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21.0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21.0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21.0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21.0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21.0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21.0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21.0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21.0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21.0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21.0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21.0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21.0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21.0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21.0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21.0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21.0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21.0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21.0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21.0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21.0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21.0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21.0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21.0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21.0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21.0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21.0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21.0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21.0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21.0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21.0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21.0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21.0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21.0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21.0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21.0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21.0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21.0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21.0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21.0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21.0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21.0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21.0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21.0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21.0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21.0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21.0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21.0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21.0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21.0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21.0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21.0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21.0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21.0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21.0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21.0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21.0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21.0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21.0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21.0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21.0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21.0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21.0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21.0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21.0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21.0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21.0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21.0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21.0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21.0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21.0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21.0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21.0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21.0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21.0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21.0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21.0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21.0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21.0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21.0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21.0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21.0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21.0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21.0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21.0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21.0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21.0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21.0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21.0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21.0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21.0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21.0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21.0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21.0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21.0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21.0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21.0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21.0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21.0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21.0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21.0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21.0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21.0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21.0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21.0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21.0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21.0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21.0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21.0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21.0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21.0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21.0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21.0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21.0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21.0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21.0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21.0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21.0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21.0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21.0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21.0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21.0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21.0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21.0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21.0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21.0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21.0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21.0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21.0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21.0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21.0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21.0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21.0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21.0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21.0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21.0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21.0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21.0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21.0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21.0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21.0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21.0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21.0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21.0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21.0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21.0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21.0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21.0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21.0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21.0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21.0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21.0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21.0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21.0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21.0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21.0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21.0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21.0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21.0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21.0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21.0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21.0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21.0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21.0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21.0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21.0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21.0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21.0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21.0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21.0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21.0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21.0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21.0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21.0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21.0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21.0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21.0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21.0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21.0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21.0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21.0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21.0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21.0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21.0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21.0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21.0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21.0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21.0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21.0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21.0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21.0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21.0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21.0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21.0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21.0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21.0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21.0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21.0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21.0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21.0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21.0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21.0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21.0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21.0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21.0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21.0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21.0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21.0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21.0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21.0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21.0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21.0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21.0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21.0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21.0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21.0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21.0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21.0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21.0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21.0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21.0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21.0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21.0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21.0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21.0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21.0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21.0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21.0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21.0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21.0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21.0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21.0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21.0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21.0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21.0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21.0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21.0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21.0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21.0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21.0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21.0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21.0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21.0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21.0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21.0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21.0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21.0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21.0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21.0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21.0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21.0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21.0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21.0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21.0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21.0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21.0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21.0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21.0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21.0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21.0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21.0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21.0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21.0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21.0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21.0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21.0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21.0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21.0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21.0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21.0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21.0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21.0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21.0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21.0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21.0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21.0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21.0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21.0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21.0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21.0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21.0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21.0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21.0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21.0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21.0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21.0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21.0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21.0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21.0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21.0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21.0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21.0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21.0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21.0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21.0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21.0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21.0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21.0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21.0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21.0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21.0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21.0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21.0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21.0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21.0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21.0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21.0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21.0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21.0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21.0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21.0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21.0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21.0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21.0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21.0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21.0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21.0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21.0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21.0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21.0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21.0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21.0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21.0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21.0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21.0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21.0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21.0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21.0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21.0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21.0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21.0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21.0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21.0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21.0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21.0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21.0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21.0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21.0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21.0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21.0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21.0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21.0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21.0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21.0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21.0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21.0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21.0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21.0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21.0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21.0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21.0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21.0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21.0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21.0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21.0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21.0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21.0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21.0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21.0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21.0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21.0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21.0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21.0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21.0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21.0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21.0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21.0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21.0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21.0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21.0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21.0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21.0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21.0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21.0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21.0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21.0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21.0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21.0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21.0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21.0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21.0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21.0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21.0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21.0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21.0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21.0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21.0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21.0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21.0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21.0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21.0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21.0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21.0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21.0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21.0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21.0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21.0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21.0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21.0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21.0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21.0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21.0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21.0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21.0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21.0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21.0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21.0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21.0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21.0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21.0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21.0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21.0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21.0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21.0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21.0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21.0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21.0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21.0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21.0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21.0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21.0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21.0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21.0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21.0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21.0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21.0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21.0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21.0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21.0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21.0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21.0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21.0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21.0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21.0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21.0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21.0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21.0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21.0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21.0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21.0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21.0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21.0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21.0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21.0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21.0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21.0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21.0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21.0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21.0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21.0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21.0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21.0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21.0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21.0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21.0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21.0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21.0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21.0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21.0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21.0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21.0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21.0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21.0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21.0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21.0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21.0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21.0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21.0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21.0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21.0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21.0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21.0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21.0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21.0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21.0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21.0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21.0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21.0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21.0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21.0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21.0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21.0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21.0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21.0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21.0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21.0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21.0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21.0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21.0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21.0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21.0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21.0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21.0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21.0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21.0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21.0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21.0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21.0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21.0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21.0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21.0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21.0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21.0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21.0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21.0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21.0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21.0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21.0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21.0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21.0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21.0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21.0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21.0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21.0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21.0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21.0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21.0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21.0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21.0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21.0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21.0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21.0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21.0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21.0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21.0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21.0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21.0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21.0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21.0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21.0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21.0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21.0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21.0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21.0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21.0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21.0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21.0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21.0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21.0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21.0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21.0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21.0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21.0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21.0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21.0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21.0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21.0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21.0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21.0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21.0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21.0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21.0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21.0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21.0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21.0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21.0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21.0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21.0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21.0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21.0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21.0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21.0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21.0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21.0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21.0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21.0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21.0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21.0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21.0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21.0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21.0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21.0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21.0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21.0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21.0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21.0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21.0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21.0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21.0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21.0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21.0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21.0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21.0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21.0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21.0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21.0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21.0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21.0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21.0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21.0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21.0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21.0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21.0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21.0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21.0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21.0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21.0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21.0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21.0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21.0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21.0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21.0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21.0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21.0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21.0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21.0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21.0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21.0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21.0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21.0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21.0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21.0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21.0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21.0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21.0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21.0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21.0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21.0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21.0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21.0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21.0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21.0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21.0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21.0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21.0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21.0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21.0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21.0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21.0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21.0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21.0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21.0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21.0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21.0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21.0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21.0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21.0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21.0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21.0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21.0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21.0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21.0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21.0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21.0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21.0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21.0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21.0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21.0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21.0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21.0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21.0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21.0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21.0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21.0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21.0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21.0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21.0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21.0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21.0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21.0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21.0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21.0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</sheetData>
  <mergeCells count="5">
    <mergeCell ref="A1:H1"/>
    <mergeCell ref="A4:B4"/>
    <mergeCell ref="D4:H4"/>
    <mergeCell ref="A17:H17"/>
    <mergeCell ref="A18:H18"/>
  </mergeCells>
  <printOptions/>
  <pageMargins bottom="0.7480314960629921" footer="0.0" header="0.0" left="0.7086614173228347" right="0.7086614173228347" top="0.7480314960629921"/>
  <pageSetup paperSize="9" scale="3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58.29"/>
    <col customWidth="1" min="3" max="3" width="20.29"/>
    <col customWidth="1" min="4" max="4" width="11.14"/>
    <col customWidth="1" min="5" max="26" width="8.71"/>
  </cols>
  <sheetData>
    <row r="1" ht="12.75" customHeight="1">
      <c r="A1" s="1"/>
      <c r="B1" s="1"/>
      <c r="C1" s="1"/>
      <c r="D1" s="1"/>
    </row>
    <row r="2" ht="12.75" customHeight="1">
      <c r="A2" s="1" t="s">
        <v>0</v>
      </c>
      <c r="B2" s="2" t="s">
        <v>1</v>
      </c>
      <c r="C2" s="2" t="s">
        <v>2</v>
      </c>
      <c r="D2" s="2" t="s">
        <v>3</v>
      </c>
    </row>
    <row r="3" ht="12.75" customHeight="1">
      <c r="A3" s="1" t="s">
        <v>4</v>
      </c>
      <c r="B3" s="3" t="s">
        <v>5</v>
      </c>
      <c r="C3" s="3" t="s">
        <v>6</v>
      </c>
      <c r="D3" s="2" t="s">
        <v>7</v>
      </c>
    </row>
    <row r="4" ht="12.75" customHeight="1">
      <c r="A4" s="1" t="s">
        <v>8</v>
      </c>
      <c r="B4" s="2" t="s">
        <v>9</v>
      </c>
      <c r="C4" s="3" t="s">
        <v>6</v>
      </c>
      <c r="D4" s="2" t="s">
        <v>7</v>
      </c>
    </row>
    <row r="5" ht="12.75" customHeight="1">
      <c r="A5" s="4" t="s">
        <v>10</v>
      </c>
      <c r="B5" s="5" t="s">
        <v>11</v>
      </c>
      <c r="C5" s="3" t="s">
        <v>6</v>
      </c>
      <c r="D5" s="3" t="s">
        <v>7</v>
      </c>
    </row>
    <row r="6">
      <c r="A6" s="1" t="s">
        <v>12</v>
      </c>
      <c r="B6" s="2" t="s">
        <v>13</v>
      </c>
      <c r="C6" s="3" t="s">
        <v>6</v>
      </c>
      <c r="D6" s="2" t="s">
        <v>7</v>
      </c>
    </row>
    <row r="7" ht="12.75" customHeight="1">
      <c r="A7" s="1" t="s">
        <v>14</v>
      </c>
      <c r="B7" s="2" t="s">
        <v>15</v>
      </c>
      <c r="C7" s="3" t="s">
        <v>6</v>
      </c>
      <c r="D7" s="2" t="s">
        <v>7</v>
      </c>
    </row>
    <row r="8" ht="12.75" customHeight="1">
      <c r="A8" s="1" t="s">
        <v>17</v>
      </c>
      <c r="B8" s="2" t="s">
        <v>18</v>
      </c>
      <c r="C8" s="3" t="s">
        <v>6</v>
      </c>
      <c r="D8" s="2" t="s">
        <v>7</v>
      </c>
    </row>
    <row r="9" ht="12.75" customHeight="1">
      <c r="A9" s="1" t="s">
        <v>19</v>
      </c>
      <c r="B9" s="2" t="s">
        <v>20</v>
      </c>
      <c r="C9" s="3" t="s">
        <v>21</v>
      </c>
      <c r="D9" s="2" t="s">
        <v>7</v>
      </c>
    </row>
    <row r="10" ht="12.75" customHeight="1">
      <c r="A10" s="1" t="s">
        <v>22</v>
      </c>
      <c r="B10" s="3" t="s">
        <v>23</v>
      </c>
      <c r="C10" s="3" t="s">
        <v>21</v>
      </c>
      <c r="D10" s="2" t="s">
        <v>7</v>
      </c>
    </row>
    <row r="11" ht="12.75" customHeight="1">
      <c r="A11" s="1" t="s">
        <v>24</v>
      </c>
      <c r="B11" s="3" t="s">
        <v>25</v>
      </c>
      <c r="C11" s="3" t="s">
        <v>21</v>
      </c>
      <c r="D11" s="2" t="s">
        <v>7</v>
      </c>
    </row>
    <row r="12" ht="12.75" customHeight="1">
      <c r="A12" s="1" t="s">
        <v>27</v>
      </c>
      <c r="B12" s="2" t="s">
        <v>28</v>
      </c>
      <c r="C12" s="3" t="s">
        <v>6</v>
      </c>
      <c r="D12" s="2" t="s">
        <v>7</v>
      </c>
    </row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2021-06-28T17:20:32Z</dcterms:created>
  <dc:creator>andy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54b734b95421497ca33773c24615d05f</vt:lpwstr>
  </property>
</Properties>
</file>